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Excel_VBA\ExcelVBA for Creative Problem Solving_Part 3\"/>
    </mc:Choice>
  </mc:AlternateContent>
  <xr:revisionPtr revIDLastSave="0" documentId="13_ncr:1_{C83959D1-AAE7-4891-B29D-EA12A5C9C971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Main" sheetId="1" r:id="rId1"/>
    <sheet name="Histogram" sheetId="65" r:id="rId2"/>
    <sheet name="Histogram Data" sheetId="2" r:id="rId3"/>
  </sheets>
  <functionGroups builtInGroupCount="19"/>
  <definedNames>
    <definedName name="Cland">Main!$B$3</definedName>
    <definedName name="COS">Main!$H$3</definedName>
    <definedName name="Croyal">Main!$B$4</definedName>
    <definedName name="Cstart">Main!$B$7</definedName>
    <definedName name="CTDC">Main!$B$5</definedName>
    <definedName name="i">Main!$H$4</definedName>
    <definedName name="S">Main!$E$3</definedName>
    <definedName name="tax">Main!$E$4</definedName>
    <definedName name="WC">Main!$B$6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4" i="1" l="1"/>
  <c r="I24" i="1"/>
  <c r="E24" i="1"/>
  <c r="C24" i="1"/>
  <c r="J23" i="1"/>
  <c r="I23" i="1"/>
  <c r="E23" i="1"/>
  <c r="J22" i="1"/>
  <c r="I22" i="1"/>
  <c r="E22" i="1"/>
  <c r="J21" i="1"/>
  <c r="I21" i="1"/>
  <c r="E21" i="1"/>
  <c r="J20" i="1"/>
  <c r="I20" i="1"/>
  <c r="E20" i="1"/>
  <c r="J19" i="1"/>
  <c r="I19" i="1"/>
  <c r="H19" i="1"/>
  <c r="E19" i="1"/>
  <c r="J18" i="1"/>
  <c r="I18" i="1"/>
  <c r="H18" i="1"/>
  <c r="E18" i="1"/>
  <c r="J17" i="1"/>
  <c r="I17" i="1"/>
  <c r="H17" i="1"/>
  <c r="E17" i="1"/>
  <c r="J16" i="1"/>
  <c r="I16" i="1"/>
  <c r="H16" i="1"/>
  <c r="E16" i="1"/>
  <c r="J15" i="1"/>
  <c r="I15" i="1"/>
  <c r="H15" i="1"/>
  <c r="E15" i="1"/>
  <c r="J14" i="1"/>
  <c r="I14" i="1"/>
  <c r="H14" i="1"/>
  <c r="E14" i="1"/>
  <c r="J13" i="1"/>
  <c r="I13" i="1"/>
  <c r="H13" i="1"/>
  <c r="E13" i="1"/>
  <c r="J12" i="1"/>
  <c r="I12" i="1"/>
  <c r="H12" i="1"/>
  <c r="E12" i="1"/>
  <c r="F11" i="1"/>
  <c r="C11" i="1"/>
  <c r="B11" i="1"/>
  <c r="D10" i="1"/>
  <c r="B10" i="1"/>
  <c r="K12" i="1" l="1"/>
  <c r="L12" i="1" s="1"/>
  <c r="M12" i="1" s="1"/>
  <c r="K22" i="1"/>
  <c r="L22" i="1" s="1"/>
  <c r="M22" i="1" s="1"/>
  <c r="K21" i="1"/>
  <c r="L21" i="1" s="1"/>
  <c r="M21" i="1" s="1"/>
  <c r="K23" i="1"/>
  <c r="L23" i="1" s="1"/>
  <c r="M23" i="1" s="1"/>
  <c r="K24" i="1"/>
  <c r="L24" i="1" s="1"/>
  <c r="M24" i="1" s="1"/>
  <c r="K20" i="1"/>
  <c r="L20" i="1" s="1"/>
  <c r="M20" i="1" s="1"/>
  <c r="L11" i="1"/>
  <c r="M11" i="1" s="1"/>
  <c r="K13" i="1"/>
  <c r="L13" i="1" s="1"/>
  <c r="M13" i="1" s="1"/>
  <c r="K15" i="1"/>
  <c r="L15" i="1" s="1"/>
  <c r="M15" i="1" s="1"/>
  <c r="K16" i="1"/>
  <c r="L16" i="1" s="1"/>
  <c r="M16" i="1" s="1"/>
  <c r="K18" i="1"/>
  <c r="L18" i="1" s="1"/>
  <c r="M18" i="1" s="1"/>
  <c r="K19" i="1"/>
  <c r="L19" i="1" s="1"/>
  <c r="M19" i="1" s="1"/>
  <c r="K14" i="1"/>
  <c r="L14" i="1" s="1"/>
  <c r="M14" i="1" s="1"/>
  <c r="K17" i="1"/>
  <c r="L17" i="1" s="1"/>
  <c r="M17" i="1" s="1"/>
  <c r="L10" i="1"/>
  <c r="M10" i="1" s="1"/>
  <c r="N10" i="1" s="1"/>
  <c r="N11" i="1" l="1"/>
  <c r="N12" i="1" s="1"/>
  <c r="N13" i="1" s="1"/>
  <c r="N14" i="1" s="1"/>
  <c r="N15" i="1" s="1"/>
  <c r="N16" i="1" s="1"/>
  <c r="N17" i="1" s="1"/>
  <c r="N18" i="1" s="1"/>
  <c r="N19" i="1" s="1"/>
  <c r="N20" i="1" s="1"/>
  <c r="N21" i="1" s="1"/>
  <c r="N22" i="1" s="1"/>
  <c r="N23" i="1" s="1"/>
  <c r="N24" i="1" s="1"/>
</calcChain>
</file>

<file path=xl/sharedStrings.xml><?xml version="1.0" encoding="utf-8"?>
<sst xmlns="http://schemas.openxmlformats.org/spreadsheetml/2006/main" count="28" uniqueCount="23">
  <si>
    <t>PROFITABILITY ANALYSIS - MONTE CARLO SIMULATION</t>
  </si>
  <si>
    <t>C_land</t>
  </si>
  <si>
    <t>S</t>
  </si>
  <si>
    <t>C</t>
  </si>
  <si>
    <t>C_royalties</t>
  </si>
  <si>
    <t>Tax:</t>
  </si>
  <si>
    <t>i</t>
  </si>
  <si>
    <t>TDC</t>
  </si>
  <si>
    <t>WC</t>
  </si>
  <si>
    <t>*IMPORTANT: DON'T CHANGE ANYTHING ON THIS SHEET ACCEPT</t>
  </si>
  <si>
    <t>C_start</t>
  </si>
  <si>
    <t>FOR INPUTS HIGHLIGHTED IN GREEN!</t>
  </si>
  <si>
    <t>(PV)</t>
  </si>
  <si>
    <t>Year</t>
  </si>
  <si>
    <t>C_royalty</t>
  </si>
  <si>
    <t>C_startup</t>
  </si>
  <si>
    <t>V_S</t>
  </si>
  <si>
    <t>D</t>
  </si>
  <si>
    <t>ATE</t>
  </si>
  <si>
    <t>Cash Flow</t>
  </si>
  <si>
    <t>Disc. CF</t>
  </si>
  <si>
    <t>NPV</t>
  </si>
  <si>
    <t>MACRS-7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</si>
</sst>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$&quot;* #,##0.00_);_(&quot;$&quot;* \(#,##0.00\);_(&quot;$&quot;* &quot;-&quot;??_);_(@_)"/>
    <numFmt numFmtId="165" formatCode="0.0%"/>
    <numFmt numFmtId="166" formatCode="0.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">
    <xf numFmtId="0" fontId="0" fillId="0" borderId="0" xfId="0"/>
    <xf numFmtId="164" fontId="0" fillId="0" borderId="0" xfId="1" applyFont="1"/>
    <xf numFmtId="164" fontId="0" fillId="0" borderId="0" xfId="0" applyNumberFormat="1"/>
    <xf numFmtId="0" fontId="0" fillId="0" borderId="0" xfId="0" quotePrefix="1"/>
    <xf numFmtId="164" fontId="0" fillId="0" borderId="0" xfId="1" applyNumberFormat="1" applyFont="1"/>
    <xf numFmtId="2" fontId="0" fillId="2" borderId="2" xfId="0" applyNumberFormat="1" applyFill="1" applyBorder="1"/>
    <xf numFmtId="2" fontId="0" fillId="2" borderId="3" xfId="0" applyNumberFormat="1" applyFill="1" applyBorder="1"/>
    <xf numFmtId="0" fontId="0" fillId="2" borderId="4" xfId="0" applyFill="1" applyBorder="1"/>
    <xf numFmtId="165" fontId="0" fillId="2" borderId="4" xfId="2" applyNumberFormat="1" applyFont="1" applyFill="1" applyBorder="1"/>
    <xf numFmtId="166" fontId="0" fillId="2" borderId="3" xfId="0" applyNumberFormat="1" applyFill="1" applyBorder="1"/>
    <xf numFmtId="0" fontId="0" fillId="0" borderId="0" xfId="0" applyFill="1"/>
    <xf numFmtId="2" fontId="0" fillId="0" borderId="0" xfId="0" applyNumberFormat="1"/>
    <xf numFmtId="10" fontId="0" fillId="0" borderId="0" xfId="2" applyNumberFormat="1" applyFont="1"/>
    <xf numFmtId="2" fontId="0" fillId="3" borderId="1" xfId="0" applyNumberFormat="1" applyFill="1" applyBorder="1"/>
    <xf numFmtId="166" fontId="0" fillId="2" borderId="4" xfId="0" applyNumberFormat="1" applyFill="1" applyBorder="1"/>
    <xf numFmtId="166" fontId="0" fillId="2" borderId="2" xfId="0" applyNumberFormat="1" applyFill="1" applyBorder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calcChain" Target="calcChain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Data'!$A$1:$A$20</c:f>
              <c:numCache>
                <c:formatCode>General</c:formatCode>
                <c:ptCount val="20"/>
                <c:pt idx="0">
                  <c:v>-69</c:v>
                </c:pt>
                <c:pt idx="1">
                  <c:v>-63</c:v>
                </c:pt>
                <c:pt idx="2">
                  <c:v>-57</c:v>
                </c:pt>
                <c:pt idx="3">
                  <c:v>-51</c:v>
                </c:pt>
                <c:pt idx="4">
                  <c:v>-45</c:v>
                </c:pt>
                <c:pt idx="5">
                  <c:v>-39</c:v>
                </c:pt>
                <c:pt idx="6">
                  <c:v>-33</c:v>
                </c:pt>
                <c:pt idx="7">
                  <c:v>-27</c:v>
                </c:pt>
                <c:pt idx="8">
                  <c:v>-21</c:v>
                </c:pt>
                <c:pt idx="9">
                  <c:v>-15</c:v>
                </c:pt>
                <c:pt idx="10">
                  <c:v>-9</c:v>
                </c:pt>
                <c:pt idx="11">
                  <c:v>-3</c:v>
                </c:pt>
                <c:pt idx="12">
                  <c:v>3</c:v>
                </c:pt>
                <c:pt idx="13">
                  <c:v>9</c:v>
                </c:pt>
                <c:pt idx="14">
                  <c:v>15</c:v>
                </c:pt>
                <c:pt idx="15">
                  <c:v>21</c:v>
                </c:pt>
                <c:pt idx="16">
                  <c:v>27</c:v>
                </c:pt>
                <c:pt idx="17">
                  <c:v>33</c:v>
                </c:pt>
                <c:pt idx="18">
                  <c:v>39</c:v>
                </c:pt>
                <c:pt idx="19">
                  <c:v>45</c:v>
                </c:pt>
              </c:numCache>
            </c:numRef>
          </c:cat>
          <c:val>
            <c:numRef>
              <c:f>'Histogram Data'!$B$1:$B$20</c:f>
              <c:numCache>
                <c:formatCode>General</c:formatCode>
                <c:ptCount val="20"/>
                <c:pt idx="0">
                  <c:v>12</c:v>
                </c:pt>
                <c:pt idx="1">
                  <c:v>18</c:v>
                </c:pt>
                <c:pt idx="2">
                  <c:v>35</c:v>
                </c:pt>
                <c:pt idx="3">
                  <c:v>64</c:v>
                </c:pt>
                <c:pt idx="4">
                  <c:v>92</c:v>
                </c:pt>
                <c:pt idx="5">
                  <c:v>100</c:v>
                </c:pt>
                <c:pt idx="6">
                  <c:v>115</c:v>
                </c:pt>
                <c:pt idx="7">
                  <c:v>108</c:v>
                </c:pt>
                <c:pt idx="8">
                  <c:v>96</c:v>
                </c:pt>
                <c:pt idx="9">
                  <c:v>90</c:v>
                </c:pt>
                <c:pt idx="10">
                  <c:v>81</c:v>
                </c:pt>
                <c:pt idx="11">
                  <c:v>56</c:v>
                </c:pt>
                <c:pt idx="12">
                  <c:v>46</c:v>
                </c:pt>
                <c:pt idx="13">
                  <c:v>30</c:v>
                </c:pt>
                <c:pt idx="14">
                  <c:v>18</c:v>
                </c:pt>
                <c:pt idx="15">
                  <c:v>14</c:v>
                </c:pt>
                <c:pt idx="16">
                  <c:v>10</c:v>
                </c:pt>
                <c:pt idx="17">
                  <c:v>8</c:v>
                </c:pt>
                <c:pt idx="18">
                  <c:v>2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93-4CB6-8F1E-C03A3A6808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47281055"/>
        <c:axId val="1237893615"/>
      </c:barChart>
      <c:catAx>
        <c:axId val="134728105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7893615"/>
        <c:crosses val="autoZero"/>
        <c:auto val="1"/>
        <c:lblAlgn val="ctr"/>
        <c:lblOffset val="100"/>
        <c:noMultiLvlLbl val="0"/>
      </c:catAx>
      <c:valAx>
        <c:axId val="1237893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72810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B33D468-53E6-42EC-9E0A-8AD46F28CE0B}">
  <sheetPr codeName="Chart4"/>
  <sheetViews>
    <sheetView zoomScale="86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891540</xdr:colOff>
          <xdr:row>25</xdr:row>
          <xdr:rowOff>83820</xdr:rowOff>
        </xdr:from>
        <xdr:to>
          <xdr:col>4</xdr:col>
          <xdr:colOff>403860</xdr:colOff>
          <xdr:row>27</xdr:row>
          <xdr:rowOff>144780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6674" cy="628207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27"/>
  <sheetViews>
    <sheetView tabSelected="1" zoomScaleNormal="100" workbookViewId="0">
      <selection activeCell="B4" sqref="B4"/>
    </sheetView>
  </sheetViews>
  <sheetFormatPr defaultRowHeight="14.4" x14ac:dyDescent="0.3"/>
  <cols>
    <col min="1" max="1" width="19.109375" bestFit="1" customWidth="1"/>
    <col min="2" max="2" width="11.77734375" bestFit="1" customWidth="1"/>
    <col min="3" max="3" width="13.109375" customWidth="1"/>
    <col min="4" max="4" width="9.77734375" bestFit="1" customWidth="1"/>
    <col min="5" max="5" width="10.44140625" bestFit="1" customWidth="1"/>
    <col min="6" max="6" width="10.77734375" customWidth="1"/>
    <col min="7" max="7" width="11.88671875" bestFit="1" customWidth="1"/>
    <col min="8" max="8" width="11" customWidth="1"/>
    <col min="9" max="9" width="9.21875" bestFit="1" customWidth="1"/>
    <col min="10" max="10" width="9.109375" bestFit="1" customWidth="1"/>
  </cols>
  <sheetData>
    <row r="1" spans="1:16" x14ac:dyDescent="0.3">
      <c r="A1" t="s">
        <v>0</v>
      </c>
    </row>
    <row r="2" spans="1:16" ht="15" thickBot="1" x14ac:dyDescent="0.35"/>
    <row r="3" spans="1:16" x14ac:dyDescent="0.3">
      <c r="A3" t="s">
        <v>1</v>
      </c>
      <c r="B3" s="5">
        <v>-20</v>
      </c>
      <c r="D3" t="s">
        <v>2</v>
      </c>
      <c r="E3" s="15">
        <v>52.504902901445774</v>
      </c>
      <c r="G3" t="s">
        <v>3</v>
      </c>
      <c r="H3" s="5">
        <v>-5.137394405692163</v>
      </c>
    </row>
    <row r="4" spans="1:16" ht="15" thickBot="1" x14ac:dyDescent="0.35">
      <c r="A4" t="s">
        <v>4</v>
      </c>
      <c r="B4" s="6">
        <v>-18.381691605288783</v>
      </c>
      <c r="D4" t="s">
        <v>5</v>
      </c>
      <c r="E4" s="7">
        <v>0.4</v>
      </c>
      <c r="G4" t="s">
        <v>6</v>
      </c>
      <c r="H4" s="8">
        <v>0.13576366007328033</v>
      </c>
    </row>
    <row r="5" spans="1:16" x14ac:dyDescent="0.3">
      <c r="A5" t="s">
        <v>7</v>
      </c>
      <c r="B5" s="9">
        <v>-75.858468621772445</v>
      </c>
      <c r="H5" s="10"/>
    </row>
    <row r="6" spans="1:16" x14ac:dyDescent="0.3">
      <c r="A6" t="s">
        <v>8</v>
      </c>
      <c r="B6" s="9">
        <v>-16.615232110023499</v>
      </c>
      <c r="E6" t="s">
        <v>9</v>
      </c>
      <c r="H6" s="10"/>
    </row>
    <row r="7" spans="1:16" ht="15" thickBot="1" x14ac:dyDescent="0.35">
      <c r="A7" t="s">
        <v>10</v>
      </c>
      <c r="B7" s="14">
        <v>-11.841158409936156</v>
      </c>
      <c r="E7" t="s">
        <v>11</v>
      </c>
      <c r="H7" s="10"/>
    </row>
    <row r="8" spans="1:16" x14ac:dyDescent="0.3">
      <c r="M8" t="s">
        <v>12</v>
      </c>
    </row>
    <row r="9" spans="1:16" x14ac:dyDescent="0.3">
      <c r="A9" t="s">
        <v>13</v>
      </c>
      <c r="B9" t="s">
        <v>7</v>
      </c>
      <c r="C9" t="s">
        <v>8</v>
      </c>
      <c r="D9" t="s">
        <v>1</v>
      </c>
      <c r="E9" t="s">
        <v>14</v>
      </c>
      <c r="F9" t="s">
        <v>15</v>
      </c>
      <c r="G9" t="s">
        <v>16</v>
      </c>
      <c r="H9" t="s">
        <v>17</v>
      </c>
      <c r="I9" t="s">
        <v>2</v>
      </c>
      <c r="J9" t="s">
        <v>3</v>
      </c>
      <c r="K9" t="s">
        <v>18</v>
      </c>
      <c r="L9" t="s">
        <v>19</v>
      </c>
      <c r="M9" t="s">
        <v>20</v>
      </c>
      <c r="N9" t="s">
        <v>21</v>
      </c>
      <c r="P9" t="s">
        <v>22</v>
      </c>
    </row>
    <row r="10" spans="1:16" x14ac:dyDescent="0.3">
      <c r="A10">
        <v>1</v>
      </c>
      <c r="B10" s="11">
        <f>0.5*CTDC</f>
        <v>-37.929234310886223</v>
      </c>
      <c r="C10" s="11"/>
      <c r="D10" s="11">
        <f>Cland</f>
        <v>-20</v>
      </c>
      <c r="E10" s="11"/>
      <c r="F10" s="11"/>
      <c r="G10" s="11"/>
      <c r="H10" s="11"/>
      <c r="I10" s="11"/>
      <c r="J10" s="11"/>
      <c r="L10">
        <f>B10+D10</f>
        <v>-57.929234310886223</v>
      </c>
      <c r="M10" s="11">
        <f t="shared" ref="M10:M24" si="0">L10/(1+i)^(A10-1)</f>
        <v>-57.929234310886223</v>
      </c>
      <c r="N10" s="11">
        <f>M10</f>
        <v>-57.929234310886223</v>
      </c>
    </row>
    <row r="11" spans="1:16" x14ac:dyDescent="0.3">
      <c r="A11">
        <v>2</v>
      </c>
      <c r="B11" s="11">
        <f>0.5*CTDC</f>
        <v>-37.929234310886223</v>
      </c>
      <c r="C11" s="11">
        <f>WC</f>
        <v>-16.615232110023499</v>
      </c>
      <c r="D11" s="11"/>
      <c r="E11" s="11"/>
      <c r="F11" s="11">
        <f>Cstart</f>
        <v>-11.841158409936156</v>
      </c>
      <c r="G11" s="11"/>
      <c r="H11" s="11"/>
      <c r="I11" s="11"/>
      <c r="J11" s="11"/>
      <c r="L11">
        <f>B11+C11+F11</f>
        <v>-66.38562483084587</v>
      </c>
      <c r="M11" s="11">
        <f t="shared" si="0"/>
        <v>-58.45021034267166</v>
      </c>
      <c r="N11" s="11">
        <f>N10+M11</f>
        <v>-116.37944465355788</v>
      </c>
    </row>
    <row r="12" spans="1:16" x14ac:dyDescent="0.3">
      <c r="A12">
        <v>3</v>
      </c>
      <c r="B12" s="11"/>
      <c r="C12" s="11"/>
      <c r="D12" s="11"/>
      <c r="E12" s="11">
        <f t="shared" ref="E12:E24" si="1">Croyal</f>
        <v>-18.381691605288783</v>
      </c>
      <c r="F12" s="11"/>
      <c r="G12" s="11"/>
      <c r="H12" s="11">
        <f>P12*-CTDC</f>
        <v>10.840175166051282</v>
      </c>
      <c r="I12" s="11">
        <f>0.5*S</f>
        <v>26.252451450722887</v>
      </c>
      <c r="J12" s="11">
        <f>0.5*COS</f>
        <v>-2.5686972028460815</v>
      </c>
      <c r="K12" s="11">
        <f>(1-tax)*(I12-J12-H12)</f>
        <v>10.788584092510613</v>
      </c>
      <c r="L12" s="11">
        <f t="shared" ref="L12:L23" si="2">K12+H12+E12</f>
        <v>3.2470676532731098</v>
      </c>
      <c r="M12" s="11">
        <f t="shared" si="0"/>
        <v>2.5171865329379983</v>
      </c>
      <c r="N12" s="11">
        <f t="shared" ref="N12:N23" si="3">N11+M12</f>
        <v>-113.86225812061988</v>
      </c>
      <c r="P12" s="12">
        <v>0.1429</v>
      </c>
    </row>
    <row r="13" spans="1:16" x14ac:dyDescent="0.3">
      <c r="A13">
        <v>4</v>
      </c>
      <c r="B13" s="11"/>
      <c r="C13" s="11"/>
      <c r="D13" s="11"/>
      <c r="E13" s="11">
        <f t="shared" si="1"/>
        <v>-18.381691605288783</v>
      </c>
      <c r="F13" s="11"/>
      <c r="G13" s="11"/>
      <c r="H13" s="11">
        <f t="shared" ref="H13:H19" si="4">P13*-CTDC</f>
        <v>18.577738965472072</v>
      </c>
      <c r="I13" s="11">
        <f>0.8*S</f>
        <v>42.003922321156622</v>
      </c>
      <c r="J13" s="11">
        <f>0.8*COS</f>
        <v>-4.1099155245537302</v>
      </c>
      <c r="K13" s="11">
        <f t="shared" ref="K13:K24" si="5">(1-tax)*(I13-J13-H13)</f>
        <v>16.521659328142967</v>
      </c>
      <c r="L13" s="11">
        <f t="shared" si="2"/>
        <v>16.717706688326256</v>
      </c>
      <c r="M13" s="11">
        <f t="shared" si="0"/>
        <v>11.410713327041815</v>
      </c>
      <c r="N13" s="11">
        <f t="shared" si="3"/>
        <v>-102.45154479357807</v>
      </c>
      <c r="P13" s="12">
        <v>0.24490000000000001</v>
      </c>
    </row>
    <row r="14" spans="1:16" x14ac:dyDescent="0.3">
      <c r="A14">
        <v>5</v>
      </c>
      <c r="B14" s="11"/>
      <c r="C14" s="11"/>
      <c r="D14" s="11"/>
      <c r="E14" s="11">
        <f t="shared" si="1"/>
        <v>-18.381691605288783</v>
      </c>
      <c r="F14" s="11"/>
      <c r="G14" s="11"/>
      <c r="H14" s="11">
        <f t="shared" si="4"/>
        <v>13.267646161948001</v>
      </c>
      <c r="I14" s="11">
        <f t="shared" ref="I14:I24" si="6">S</f>
        <v>52.504902901445774</v>
      </c>
      <c r="J14" s="11">
        <f t="shared" ref="J14:J24" si="7">COS</f>
        <v>-5.137394405692163</v>
      </c>
      <c r="K14" s="11">
        <f t="shared" si="5"/>
        <v>26.624790687113961</v>
      </c>
      <c r="L14" s="11">
        <f t="shared" si="2"/>
        <v>21.510745243773183</v>
      </c>
      <c r="M14" s="11">
        <f t="shared" si="0"/>
        <v>12.927173610606484</v>
      </c>
      <c r="N14" s="11">
        <f t="shared" si="3"/>
        <v>-89.524371182971578</v>
      </c>
      <c r="P14" s="12">
        <v>0.1749</v>
      </c>
    </row>
    <row r="15" spans="1:16" x14ac:dyDescent="0.3">
      <c r="A15">
        <v>6</v>
      </c>
      <c r="B15" s="11"/>
      <c r="C15" s="11"/>
      <c r="D15" s="11"/>
      <c r="E15" s="11">
        <f t="shared" si="1"/>
        <v>-18.381691605288783</v>
      </c>
      <c r="F15" s="11"/>
      <c r="G15" s="11"/>
      <c r="H15" s="11">
        <f t="shared" si="4"/>
        <v>9.4747227308593782</v>
      </c>
      <c r="I15" s="11">
        <f t="shared" si="6"/>
        <v>52.504902901445774</v>
      </c>
      <c r="J15" s="11">
        <f t="shared" si="7"/>
        <v>-5.137394405692163</v>
      </c>
      <c r="K15" s="11">
        <f t="shared" si="5"/>
        <v>28.900544745767135</v>
      </c>
      <c r="L15" s="11">
        <f t="shared" si="2"/>
        <v>19.993575871337729</v>
      </c>
      <c r="M15" s="11">
        <f t="shared" si="0"/>
        <v>10.579146486278196</v>
      </c>
      <c r="N15" s="11">
        <f t="shared" si="3"/>
        <v>-78.945224696693387</v>
      </c>
      <c r="P15" s="12">
        <v>0.1249</v>
      </c>
    </row>
    <row r="16" spans="1:16" x14ac:dyDescent="0.3">
      <c r="A16">
        <v>7</v>
      </c>
      <c r="B16" s="11"/>
      <c r="C16" s="11"/>
      <c r="D16" s="11"/>
      <c r="E16" s="11">
        <f t="shared" si="1"/>
        <v>-18.381691605288783</v>
      </c>
      <c r="F16" s="11"/>
      <c r="G16" s="11"/>
      <c r="H16" s="11">
        <f t="shared" si="4"/>
        <v>6.7741612479242796</v>
      </c>
      <c r="I16" s="11">
        <f t="shared" si="6"/>
        <v>52.504902901445774</v>
      </c>
      <c r="J16" s="11">
        <f t="shared" si="7"/>
        <v>-5.137394405692163</v>
      </c>
      <c r="K16" s="11">
        <f t="shared" si="5"/>
        <v>30.520881635528191</v>
      </c>
      <c r="L16" s="11">
        <f t="shared" si="2"/>
        <v>18.913351278163685</v>
      </c>
      <c r="M16" s="11">
        <f t="shared" si="0"/>
        <v>8.8113139499313355</v>
      </c>
      <c r="N16" s="11">
        <f t="shared" si="3"/>
        <v>-70.133910746762055</v>
      </c>
      <c r="P16" s="12">
        <v>8.9300000000000004E-2</v>
      </c>
    </row>
    <row r="17" spans="1:16" x14ac:dyDescent="0.3">
      <c r="A17">
        <v>8</v>
      </c>
      <c r="B17" s="11"/>
      <c r="C17" s="11"/>
      <c r="D17" s="11"/>
      <c r="E17" s="11">
        <f t="shared" si="1"/>
        <v>-18.381691605288783</v>
      </c>
      <c r="F17" s="11"/>
      <c r="G17" s="11"/>
      <c r="H17" s="11">
        <f t="shared" si="4"/>
        <v>6.7665754010621022</v>
      </c>
      <c r="I17" s="11">
        <f t="shared" si="6"/>
        <v>52.504902901445774</v>
      </c>
      <c r="J17" s="11">
        <f t="shared" si="7"/>
        <v>-5.137394405692163</v>
      </c>
      <c r="K17" s="11">
        <f t="shared" si="5"/>
        <v>30.5254331436455</v>
      </c>
      <c r="L17" s="11">
        <f t="shared" si="2"/>
        <v>18.910316939418816</v>
      </c>
      <c r="M17" s="11">
        <f t="shared" si="0"/>
        <v>7.7568077127489392</v>
      </c>
      <c r="N17" s="11">
        <f t="shared" si="3"/>
        <v>-62.377103034013118</v>
      </c>
      <c r="P17" s="12">
        <v>8.9200000000000002E-2</v>
      </c>
    </row>
    <row r="18" spans="1:16" x14ac:dyDescent="0.3">
      <c r="A18">
        <v>9</v>
      </c>
      <c r="B18" s="11"/>
      <c r="C18" s="11"/>
      <c r="D18" s="11"/>
      <c r="E18" s="11">
        <f t="shared" si="1"/>
        <v>-18.381691605288783</v>
      </c>
      <c r="F18" s="11"/>
      <c r="G18" s="11"/>
      <c r="H18" s="11">
        <f t="shared" si="4"/>
        <v>6.7741612479242796</v>
      </c>
      <c r="I18" s="11">
        <f t="shared" si="6"/>
        <v>52.504902901445774</v>
      </c>
      <c r="J18" s="11">
        <f t="shared" si="7"/>
        <v>-5.137394405692163</v>
      </c>
      <c r="K18" s="11">
        <f t="shared" si="5"/>
        <v>30.520881635528191</v>
      </c>
      <c r="L18" s="11">
        <f t="shared" si="2"/>
        <v>18.913351278163685</v>
      </c>
      <c r="M18" s="11">
        <f t="shared" si="0"/>
        <v>6.8306925449792431</v>
      </c>
      <c r="N18" s="11">
        <f t="shared" si="3"/>
        <v>-55.546410489033875</v>
      </c>
      <c r="P18" s="12">
        <v>8.9300000000000004E-2</v>
      </c>
    </row>
    <row r="19" spans="1:16" x14ac:dyDescent="0.3">
      <c r="A19">
        <v>10</v>
      </c>
      <c r="B19" s="11"/>
      <c r="C19" s="11"/>
      <c r="D19" s="11"/>
      <c r="E19" s="11">
        <f t="shared" si="1"/>
        <v>-18.381691605288783</v>
      </c>
      <c r="F19" s="11"/>
      <c r="G19" s="11"/>
      <c r="H19" s="11">
        <f t="shared" si="4"/>
        <v>3.3832877005310511</v>
      </c>
      <c r="I19" s="11">
        <f t="shared" si="6"/>
        <v>52.504902901445774</v>
      </c>
      <c r="J19" s="11">
        <f t="shared" si="7"/>
        <v>-5.137394405692163</v>
      </c>
      <c r="K19" s="11">
        <f t="shared" si="5"/>
        <v>32.555405763964131</v>
      </c>
      <c r="L19" s="11">
        <f t="shared" si="2"/>
        <v>17.557001859206398</v>
      </c>
      <c r="M19" s="11">
        <f t="shared" si="0"/>
        <v>5.5828843987921859</v>
      </c>
      <c r="N19" s="11">
        <f t="shared" si="3"/>
        <v>-49.963526090241686</v>
      </c>
      <c r="P19" s="12">
        <v>4.4600000000000001E-2</v>
      </c>
    </row>
    <row r="20" spans="1:16" x14ac:dyDescent="0.3">
      <c r="A20">
        <v>11</v>
      </c>
      <c r="B20" s="11"/>
      <c r="C20" s="11"/>
      <c r="D20" s="11"/>
      <c r="E20" s="11">
        <f t="shared" si="1"/>
        <v>-18.381691605288783</v>
      </c>
      <c r="F20" s="11"/>
      <c r="G20" s="11"/>
      <c r="H20" s="11"/>
      <c r="I20" s="11">
        <f t="shared" si="6"/>
        <v>52.504902901445774</v>
      </c>
      <c r="J20" s="11">
        <f t="shared" si="7"/>
        <v>-5.137394405692163</v>
      </c>
      <c r="K20" s="11">
        <f t="shared" si="5"/>
        <v>34.585378384282762</v>
      </c>
      <c r="L20" s="11">
        <f t="shared" si="2"/>
        <v>16.20368677899398</v>
      </c>
      <c r="M20" s="11">
        <f t="shared" si="0"/>
        <v>4.5366382575050883</v>
      </c>
      <c r="N20" s="11">
        <f t="shared" si="3"/>
        <v>-45.426887832736597</v>
      </c>
    </row>
    <row r="21" spans="1:16" x14ac:dyDescent="0.3">
      <c r="A21">
        <v>12</v>
      </c>
      <c r="B21" s="11"/>
      <c r="C21" s="11"/>
      <c r="D21" s="11"/>
      <c r="E21" s="11">
        <f t="shared" si="1"/>
        <v>-18.381691605288783</v>
      </c>
      <c r="F21" s="11"/>
      <c r="G21" s="11"/>
      <c r="H21" s="11"/>
      <c r="I21" s="11">
        <f t="shared" si="6"/>
        <v>52.504902901445774</v>
      </c>
      <c r="J21" s="11">
        <f t="shared" si="7"/>
        <v>-5.137394405692163</v>
      </c>
      <c r="K21" s="11">
        <f t="shared" si="5"/>
        <v>34.585378384282762</v>
      </c>
      <c r="L21" s="11">
        <f t="shared" si="2"/>
        <v>16.20368677899398</v>
      </c>
      <c r="M21" s="11">
        <f t="shared" si="0"/>
        <v>3.9943506003814035</v>
      </c>
      <c r="N21" s="11">
        <f t="shared" si="3"/>
        <v>-41.432537232355195</v>
      </c>
    </row>
    <row r="22" spans="1:16" x14ac:dyDescent="0.3">
      <c r="A22">
        <v>13</v>
      </c>
      <c r="B22" s="11"/>
      <c r="C22" s="11"/>
      <c r="D22" s="11"/>
      <c r="E22" s="11">
        <f t="shared" si="1"/>
        <v>-18.381691605288783</v>
      </c>
      <c r="F22" s="11"/>
      <c r="G22" s="11"/>
      <c r="H22" s="11"/>
      <c r="I22" s="11">
        <f t="shared" si="6"/>
        <v>52.504902901445774</v>
      </c>
      <c r="J22" s="11">
        <f t="shared" si="7"/>
        <v>-5.137394405692163</v>
      </c>
      <c r="K22" s="11">
        <f t="shared" si="5"/>
        <v>34.585378384282762</v>
      </c>
      <c r="L22" s="11">
        <f t="shared" si="2"/>
        <v>16.20368677899398</v>
      </c>
      <c r="M22" s="11">
        <f t="shared" si="0"/>
        <v>3.5168853704332164</v>
      </c>
      <c r="N22" s="11">
        <f t="shared" si="3"/>
        <v>-37.91565186192198</v>
      </c>
    </row>
    <row r="23" spans="1:16" ht="15" thickBot="1" x14ac:dyDescent="0.35">
      <c r="A23">
        <v>14</v>
      </c>
      <c r="B23" s="11"/>
      <c r="C23" s="11"/>
      <c r="D23" s="11"/>
      <c r="E23" s="11">
        <f t="shared" si="1"/>
        <v>-18.381691605288783</v>
      </c>
      <c r="F23" s="11"/>
      <c r="G23" s="11"/>
      <c r="H23" s="11"/>
      <c r="I23" s="11">
        <f t="shared" si="6"/>
        <v>52.504902901445774</v>
      </c>
      <c r="J23" s="11">
        <f t="shared" si="7"/>
        <v>-5.137394405692163</v>
      </c>
      <c r="K23" s="11">
        <f t="shared" si="5"/>
        <v>34.585378384282762</v>
      </c>
      <c r="L23" s="11">
        <f t="shared" si="2"/>
        <v>16.20368677899398</v>
      </c>
      <c r="M23" s="11">
        <f t="shared" si="0"/>
        <v>3.0964940102118637</v>
      </c>
      <c r="N23" s="11">
        <f t="shared" si="3"/>
        <v>-34.819157851710116</v>
      </c>
    </row>
    <row r="24" spans="1:16" ht="15" thickBot="1" x14ac:dyDescent="0.35">
      <c r="A24">
        <v>15</v>
      </c>
      <c r="B24" s="11"/>
      <c r="C24" s="11">
        <f>-WC</f>
        <v>16.615232110023499</v>
      </c>
      <c r="D24" s="11"/>
      <c r="E24" s="11">
        <f t="shared" si="1"/>
        <v>-18.381691605288783</v>
      </c>
      <c r="F24" s="11"/>
      <c r="G24" s="11"/>
      <c r="H24" s="11"/>
      <c r="I24" s="11">
        <f t="shared" si="6"/>
        <v>52.504902901445774</v>
      </c>
      <c r="J24" s="11">
        <f t="shared" si="7"/>
        <v>-5.137394405692163</v>
      </c>
      <c r="K24" s="11">
        <f t="shared" si="5"/>
        <v>34.585378384282762</v>
      </c>
      <c r="L24" s="11">
        <f>C24+K24+G24+E24</f>
        <v>32.818918889017482</v>
      </c>
      <c r="M24" s="11">
        <f t="shared" si="0"/>
        <v>5.5219530067439573</v>
      </c>
      <c r="N24" s="13">
        <f>N23+M24</f>
        <v>-29.29720484496616</v>
      </c>
    </row>
    <row r="25" spans="1:16" x14ac:dyDescent="0.3">
      <c r="C25" s="3"/>
      <c r="D25" s="2"/>
      <c r="E25" s="4"/>
      <c r="F25" s="2"/>
      <c r="G25" s="1"/>
      <c r="H25" s="1"/>
    </row>
    <row r="26" spans="1:16" x14ac:dyDescent="0.3">
      <c r="C26" s="3"/>
      <c r="D26" s="2"/>
      <c r="E26" s="4"/>
      <c r="F26" s="2"/>
      <c r="G26" s="1"/>
      <c r="H26" s="1"/>
    </row>
    <row r="27" spans="1:16" x14ac:dyDescent="0.3">
      <c r="C27" s="3"/>
      <c r="D27" s="2"/>
      <c r="E27" s="4"/>
      <c r="F27" s="2"/>
      <c r="G27" s="1"/>
      <c r="H27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ow">
                <anchor moveWithCells="1" sizeWithCells="1">
                  <from>
                    <xdr:col>2</xdr:col>
                    <xdr:colOff>891540</xdr:colOff>
                    <xdr:row>25</xdr:row>
                    <xdr:rowOff>83820</xdr:rowOff>
                  </from>
                  <to>
                    <xdr:col>4</xdr:col>
                    <xdr:colOff>403860</xdr:colOff>
                    <xdr:row>27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20"/>
  <sheetViews>
    <sheetView workbookViewId="0">
      <selection sqref="A1:B20"/>
    </sheetView>
  </sheetViews>
  <sheetFormatPr defaultRowHeight="14.4" x14ac:dyDescent="0.3"/>
  <sheetData>
    <row r="1" spans="1:2" x14ac:dyDescent="0.3">
      <c r="A1">
        <v>-69</v>
      </c>
      <c r="B1">
        <v>12</v>
      </c>
    </row>
    <row r="2" spans="1:2" x14ac:dyDescent="0.3">
      <c r="A2">
        <v>-63</v>
      </c>
      <c r="B2">
        <v>18</v>
      </c>
    </row>
    <row r="3" spans="1:2" x14ac:dyDescent="0.3">
      <c r="A3">
        <v>-57</v>
      </c>
      <c r="B3">
        <v>35</v>
      </c>
    </row>
    <row r="4" spans="1:2" x14ac:dyDescent="0.3">
      <c r="A4">
        <v>-51</v>
      </c>
      <c r="B4">
        <v>64</v>
      </c>
    </row>
    <row r="5" spans="1:2" x14ac:dyDescent="0.3">
      <c r="A5">
        <v>-45</v>
      </c>
      <c r="B5">
        <v>92</v>
      </c>
    </row>
    <row r="6" spans="1:2" x14ac:dyDescent="0.3">
      <c r="A6">
        <v>-39</v>
      </c>
      <c r="B6">
        <v>100</v>
      </c>
    </row>
    <row r="7" spans="1:2" x14ac:dyDescent="0.3">
      <c r="A7">
        <v>-33</v>
      </c>
      <c r="B7">
        <v>115</v>
      </c>
    </row>
    <row r="8" spans="1:2" x14ac:dyDescent="0.3">
      <c r="A8">
        <v>-27</v>
      </c>
      <c r="B8">
        <v>108</v>
      </c>
    </row>
    <row r="9" spans="1:2" x14ac:dyDescent="0.3">
      <c r="A9">
        <v>-21</v>
      </c>
      <c r="B9">
        <v>96</v>
      </c>
    </row>
    <row r="10" spans="1:2" x14ac:dyDescent="0.3">
      <c r="A10">
        <v>-15</v>
      </c>
      <c r="B10">
        <v>90</v>
      </c>
    </row>
    <row r="11" spans="1:2" x14ac:dyDescent="0.3">
      <c r="A11">
        <v>-9</v>
      </c>
      <c r="B11">
        <v>81</v>
      </c>
    </row>
    <row r="12" spans="1:2" x14ac:dyDescent="0.3">
      <c r="A12">
        <v>-3</v>
      </c>
      <c r="B12">
        <v>56</v>
      </c>
    </row>
    <row r="13" spans="1:2" x14ac:dyDescent="0.3">
      <c r="A13">
        <v>3</v>
      </c>
      <c r="B13">
        <v>46</v>
      </c>
    </row>
    <row r="14" spans="1:2" x14ac:dyDescent="0.3">
      <c r="A14">
        <v>9</v>
      </c>
      <c r="B14">
        <v>30</v>
      </c>
    </row>
    <row r="15" spans="1:2" x14ac:dyDescent="0.3">
      <c r="A15">
        <v>15</v>
      </c>
      <c r="B15">
        <v>18</v>
      </c>
    </row>
    <row r="16" spans="1:2" x14ac:dyDescent="0.3">
      <c r="A16">
        <v>21</v>
      </c>
      <c r="B16">
        <v>14</v>
      </c>
    </row>
    <row r="17" spans="1:2" x14ac:dyDescent="0.3">
      <c r="A17">
        <v>27</v>
      </c>
      <c r="B17">
        <v>10</v>
      </c>
    </row>
    <row r="18" spans="1:2" x14ac:dyDescent="0.3">
      <c r="A18">
        <v>33</v>
      </c>
      <c r="B18">
        <v>8</v>
      </c>
    </row>
    <row r="19" spans="1:2" x14ac:dyDescent="0.3">
      <c r="A19">
        <v>39</v>
      </c>
      <c r="B19">
        <v>2</v>
      </c>
    </row>
    <row r="20" spans="1:2" x14ac:dyDescent="0.3">
      <c r="A20">
        <v>45</v>
      </c>
      <c r="B20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Main</vt:lpstr>
      <vt:lpstr>Histogram Data</vt:lpstr>
      <vt:lpstr>Histogram</vt:lpstr>
      <vt:lpstr>Cland</vt:lpstr>
      <vt:lpstr>COS</vt:lpstr>
      <vt:lpstr>Croyal</vt:lpstr>
      <vt:lpstr>Cstart</vt:lpstr>
      <vt:lpstr>CTDC</vt:lpstr>
      <vt:lpstr>i</vt:lpstr>
      <vt:lpstr>S</vt:lpstr>
      <vt:lpstr>tax</vt:lpstr>
      <vt:lpstr>WC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sheri</cp:lastModifiedBy>
  <dcterms:created xsi:type="dcterms:W3CDTF">2013-10-29T18:00:12Z</dcterms:created>
  <dcterms:modified xsi:type="dcterms:W3CDTF">2020-12-11T03:05:16Z</dcterms:modified>
</cp:coreProperties>
</file>